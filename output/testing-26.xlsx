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60" yWindow="4080" windowWidth="17280" windowHeight="8880" tabRatio="600" firstSheet="0" activeTab="0" autoFilterDateGrouping="1"/>
  </bookViews>
  <sheets>
    <sheet xmlns:r="http://schemas.openxmlformats.org/officeDocument/2006/relationships" name="Student Result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FCE5CD"/>
        <bgColor rgb="00FCE5CD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1" fillId="0" borderId="1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2" fillId="4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6"/>
  <sheetViews>
    <sheetView tabSelected="1" topLeftCell="AD1" zoomScaleNormal="100" workbookViewId="0">
      <selection activeCell="AB4" sqref="AB4:AD4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5th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10" t="inlineStr">
        <is>
          <t>BCS401</t>
        </is>
      </c>
      <c r="F4" s="23" t="n"/>
      <c r="G4" s="10" t="inlineStr">
        <is>
          <t>BAD402</t>
        </is>
      </c>
      <c r="I4" s="23" t="n"/>
      <c r="J4" s="10" t="inlineStr">
        <is>
          <t>BCS403</t>
        </is>
      </c>
      <c r="L4" s="23" t="n"/>
      <c r="M4" s="10" t="inlineStr">
        <is>
          <t>BCSL404</t>
        </is>
      </c>
      <c r="O4" s="23" t="n"/>
      <c r="P4" s="10" t="inlineStr">
        <is>
          <t>BCS405C</t>
        </is>
      </c>
      <c r="R4" s="23" t="n"/>
      <c r="S4" s="10" t="inlineStr">
        <is>
          <t>BDSL456D</t>
        </is>
      </c>
      <c r="U4" s="23" t="n"/>
      <c r="V4" s="10" t="inlineStr">
        <is>
          <t>BBOC407</t>
        </is>
      </c>
      <c r="X4" s="23" t="n"/>
      <c r="Y4" s="10" t="inlineStr">
        <is>
          <t>BUHK408</t>
        </is>
      </c>
      <c r="AA4" s="23" t="n"/>
      <c r="AB4" s="10" t="inlineStr">
        <is>
          <t>BNSK459/BPEK459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10" t="inlineStr">
        <is>
          <t>FAILED SUBJECTS</t>
        </is>
      </c>
      <c r="AH4" s="10" t="inlineStr">
        <is>
          <t>ABSENT</t>
        </is>
      </c>
    </row>
    <row r="5" ht="15.6" customHeight="1">
      <c r="A5" s="23" t="n"/>
      <c r="B5" s="23" t="n"/>
      <c r="C5" s="23" t="n"/>
      <c r="D5" s="10" t="inlineStr">
        <is>
          <t>Int</t>
        </is>
      </c>
      <c r="E5" s="10" t="inlineStr">
        <is>
          <t>Ext</t>
        </is>
      </c>
      <c r="F5" s="23" t="inlineStr">
        <is>
          <t>Total</t>
        </is>
      </c>
      <c r="G5" s="10" t="inlineStr">
        <is>
          <t>Int</t>
        </is>
      </c>
      <c r="H5" s="10" t="inlineStr">
        <is>
          <t>Ext</t>
        </is>
      </c>
      <c r="I5" s="23" t="inlineStr">
        <is>
          <t>Total</t>
        </is>
      </c>
      <c r="J5" s="10" t="inlineStr">
        <is>
          <t>Int</t>
        </is>
      </c>
      <c r="K5" s="10" t="inlineStr">
        <is>
          <t>Ext</t>
        </is>
      </c>
      <c r="L5" s="23" t="inlineStr">
        <is>
          <t>Total</t>
        </is>
      </c>
      <c r="M5" s="10" t="inlineStr">
        <is>
          <t>Int</t>
        </is>
      </c>
      <c r="N5" s="10" t="inlineStr">
        <is>
          <t>Ext</t>
        </is>
      </c>
      <c r="O5" s="23" t="inlineStr">
        <is>
          <t>Total</t>
        </is>
      </c>
      <c r="P5" s="10" t="inlineStr">
        <is>
          <t>Int</t>
        </is>
      </c>
      <c r="Q5" s="10" t="inlineStr">
        <is>
          <t>Ext</t>
        </is>
      </c>
      <c r="R5" s="23" t="inlineStr">
        <is>
          <t>Total</t>
        </is>
      </c>
      <c r="S5" s="10" t="inlineStr">
        <is>
          <t>Int</t>
        </is>
      </c>
      <c r="T5" s="10" t="inlineStr">
        <is>
          <t>Ext</t>
        </is>
      </c>
      <c r="U5" s="23" t="inlineStr">
        <is>
          <t>Total</t>
        </is>
      </c>
      <c r="V5" s="10" t="inlineStr">
        <is>
          <t>Int</t>
        </is>
      </c>
      <c r="W5" s="10" t="inlineStr">
        <is>
          <t>Ext</t>
        </is>
      </c>
      <c r="X5" s="23" t="inlineStr">
        <is>
          <t>Total</t>
        </is>
      </c>
      <c r="Y5" s="10" t="inlineStr">
        <is>
          <t>Int</t>
        </is>
      </c>
      <c r="Z5" s="10" t="inlineStr">
        <is>
          <t>Ext</t>
        </is>
      </c>
      <c r="AA5" s="23" t="inlineStr">
        <is>
          <t>Total</t>
        </is>
      </c>
      <c r="AB5" s="10" t="inlineStr">
        <is>
          <t>Int</t>
        </is>
      </c>
      <c r="AC5" s="10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4" t="n">
        <v>1</v>
      </c>
      <c r="B6" s="24" t="inlineStr">
        <is>
          <t>4DM23AI028</t>
        </is>
      </c>
      <c r="C6" s="24" t="inlineStr">
        <is>
          <t>MOHAMMAD ASHIN IMRAAZ</t>
        </is>
      </c>
      <c r="D6" s="25" t="n">
        <v>44</v>
      </c>
      <c r="E6" s="25" t="n">
        <v>38</v>
      </c>
      <c r="F6" s="24" t="n">
        <v>82</v>
      </c>
      <c r="G6" s="25" t="n">
        <v>45</v>
      </c>
      <c r="H6" s="25" t="n">
        <v>21</v>
      </c>
      <c r="I6" s="24" t="n">
        <v>66</v>
      </c>
      <c r="J6" s="25" t="n">
        <v>45</v>
      </c>
      <c r="K6" s="25" t="n">
        <v>26</v>
      </c>
      <c r="L6" s="24" t="n">
        <v>71</v>
      </c>
      <c r="M6" s="25" t="n">
        <v>49</v>
      </c>
      <c r="N6" s="25" t="n">
        <v>48</v>
      </c>
      <c r="O6" s="24" t="n">
        <v>97</v>
      </c>
      <c r="P6" s="25" t="n">
        <v>32</v>
      </c>
      <c r="Q6" s="25" t="n">
        <v>35</v>
      </c>
      <c r="R6" s="24" t="n">
        <v>67</v>
      </c>
      <c r="S6" s="25" t="n">
        <v>50</v>
      </c>
      <c r="T6" s="25" t="n">
        <v>49</v>
      </c>
      <c r="U6" s="24" t="n">
        <v>99</v>
      </c>
      <c r="V6" s="25" t="n">
        <v>40</v>
      </c>
      <c r="W6" s="25" t="n">
        <v>10</v>
      </c>
      <c r="X6" s="24" t="n">
        <v>50</v>
      </c>
      <c r="Y6" s="25" t="n">
        <v>48</v>
      </c>
      <c r="Z6" s="25" t="n">
        <v>42</v>
      </c>
      <c r="AA6" s="24" t="n">
        <v>90</v>
      </c>
      <c r="AB6" s="25" t="n">
        <v>84</v>
      </c>
      <c r="AC6" s="25" t="n">
        <v>0</v>
      </c>
      <c r="AD6" s="24" t="n">
        <v>84</v>
      </c>
      <c r="AE6" s="24">
        <f>I6+X6+F6+L6+R6+O6+U6+AA6+AD6</f>
        <v/>
      </c>
      <c r="AF6" s="24">
        <f>ROUND((AE6/(9*100))*100, 1)</f>
        <v/>
      </c>
      <c r="AG6" s="25" t="n"/>
      <c r="AH6" s="25" t="n"/>
    </row>
    <row r="61">
      <c r="AK61" s="23" t="inlineStr">
        <is>
          <t>LEGEND</t>
        </is>
      </c>
    </row>
    <row r="63">
      <c r="AK63" s="26" t="inlineStr">
        <is>
          <t>Subject Fail</t>
        </is>
      </c>
    </row>
    <row r="64">
      <c r="AK64" s="27" t="inlineStr">
        <is>
          <t>(BPEK559)</t>
        </is>
      </c>
    </row>
    <row r="65">
      <c r="AK65" s="28" t="inlineStr">
        <is>
          <t>(BNSK559)</t>
        </is>
      </c>
    </row>
    <row r="66">
      <c r="AK66" s="25" t="inlineStr">
        <is>
          <t>Class Topper</t>
        </is>
      </c>
    </row>
  </sheetData>
  <mergeCells count="19">
    <mergeCell ref="A1:AG1"/>
    <mergeCell ref="C4:C5"/>
    <mergeCell ref="AF4:AF5"/>
    <mergeCell ref="AH4:AH5"/>
    <mergeCell ref="J4:L4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3" t="inlineStr">
        <is>
          <t>YENEPOYA INSTITUTE OF TECHNOLOGY</t>
        </is>
      </c>
    </row>
    <row r="2" ht="15.6" customHeight="1">
      <c r="A2" s="14" t="inlineStr">
        <is>
          <t>(Sponsered by Islamic Academy of Education)</t>
        </is>
      </c>
    </row>
    <row r="3" ht="17.4" customHeight="1">
      <c r="A3" s="16" t="inlineStr">
        <is>
          <t>Department of Artificial Intelligence and Machine Learning</t>
        </is>
      </c>
    </row>
    <row r="4" ht="15.6" customHeight="1">
      <c r="A4" s="9" t="inlineStr">
        <is>
          <t>Result Analysis of 5th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17" t="inlineStr">
        <is>
          <t>SL NO.</t>
        </is>
      </c>
      <c r="B6" s="17" t="inlineStr">
        <is>
          <t>SUBJECT CODE</t>
        </is>
      </c>
      <c r="C6" s="17" t="inlineStr">
        <is>
          <t>Sub Name and Faculty Name</t>
        </is>
      </c>
      <c r="D6" s="29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17" t="n">
        <v>1</v>
      </c>
      <c r="B7" s="17" t="inlineStr">
        <is>
          <t>BCS501</t>
        </is>
      </c>
      <c r="C7" s="12" t="inlineStr">
        <is>
          <t>SOFTWARE ENGINEERING AND PROJECT MANAGEMENT</t>
        </is>
      </c>
      <c r="D7" s="29" t="n"/>
      <c r="E7" s="17" t="n"/>
      <c r="F7" s="17" t="n"/>
      <c r="G7" s="17" t="n"/>
    </row>
    <row r="8">
      <c r="A8" s="17" t="n">
        <v>2</v>
      </c>
      <c r="B8" s="17" t="inlineStr">
        <is>
          <t>BCS502</t>
        </is>
      </c>
      <c r="C8" s="12" t="inlineStr">
        <is>
          <t>COMPUTER NETWORKS</t>
        </is>
      </c>
      <c r="D8" s="29" t="n"/>
      <c r="E8" s="17" t="n"/>
      <c r="F8" s="17" t="n"/>
      <c r="G8" s="17" t="n"/>
    </row>
    <row r="9">
      <c r="A9" s="17" t="n">
        <v>3</v>
      </c>
      <c r="B9" s="17" t="inlineStr">
        <is>
          <t>BCS503</t>
        </is>
      </c>
      <c r="C9" s="12" t="inlineStr">
        <is>
          <t>THEORY OF COMPUTATION</t>
        </is>
      </c>
      <c r="D9" s="29" t="n"/>
      <c r="E9" s="17" t="n"/>
      <c r="F9" s="17" t="n"/>
      <c r="G9" s="17" t="n"/>
    </row>
    <row r="10">
      <c r="A10" s="17" t="n">
        <v>4</v>
      </c>
      <c r="B10" s="17" t="inlineStr">
        <is>
          <t>BAIL504</t>
        </is>
      </c>
      <c r="C10" s="12" t="inlineStr">
        <is>
          <t>DATA VISUALIZATION LAB</t>
        </is>
      </c>
      <c r="D10" s="29" t="n"/>
      <c r="E10" s="17" t="n"/>
      <c r="F10" s="17" t="n"/>
      <c r="G10" s="17" t="n"/>
    </row>
    <row r="11">
      <c r="A11" s="17" t="n">
        <v>5</v>
      </c>
      <c r="B11" s="17" t="inlineStr">
        <is>
          <t>BAI586</t>
        </is>
      </c>
      <c r="C11" s="12" t="inlineStr">
        <is>
          <t>MINI PROJECT</t>
        </is>
      </c>
      <c r="D11" s="29" t="n"/>
      <c r="E11" s="17" t="n"/>
      <c r="F11" s="17" t="n"/>
      <c r="G11" s="17" t="n"/>
    </row>
    <row r="12">
      <c r="A12" s="17" t="n">
        <v>6</v>
      </c>
      <c r="B12" s="17" t="inlineStr">
        <is>
          <t>BRMK557</t>
        </is>
      </c>
      <c r="C12" s="12" t="inlineStr">
        <is>
          <t>RESEARCH METHODOLOGY AND IPR</t>
        </is>
      </c>
      <c r="D12" s="29" t="n"/>
      <c r="E12" s="17" t="n"/>
      <c r="F12" s="17" t="n"/>
      <c r="G12" s="17" t="n"/>
    </row>
    <row r="13">
      <c r="A13" s="17" t="n">
        <v>7</v>
      </c>
      <c r="B13" s="17" t="inlineStr">
        <is>
          <t>BCS508</t>
        </is>
      </c>
      <c r="C13" s="12" t="inlineStr">
        <is>
          <t>ENVIRONMENTAL STUDIES AND E-WASTE MANAGEMENT</t>
        </is>
      </c>
      <c r="D13" s="29" t="n"/>
      <c r="E13" s="17" t="n"/>
      <c r="F13" s="17" t="n"/>
      <c r="G13" s="17" t="n"/>
    </row>
    <row r="14">
      <c r="A14" s="17" t="n">
        <v>8</v>
      </c>
      <c r="B14" s="17" t="inlineStr">
        <is>
          <t>BPEK559</t>
        </is>
      </c>
      <c r="C14" s="12" t="inlineStr">
        <is>
          <t>PHYSICAL EDUCATION</t>
        </is>
      </c>
      <c r="D14" s="29" t="n"/>
      <c r="E14" s="17" t="n"/>
      <c r="F14" s="17" t="n"/>
      <c r="G14" s="17" t="n"/>
    </row>
    <row r="15">
      <c r="A15" s="17" t="n">
        <v>9</v>
      </c>
      <c r="B15" s="17" t="inlineStr">
        <is>
          <t>BNSK559</t>
        </is>
      </c>
      <c r="C15" s="12" t="inlineStr">
        <is>
          <t>NATIONAL SERVICE SCHEME</t>
        </is>
      </c>
      <c r="D15" s="29" t="n"/>
      <c r="E15" s="17" t="n"/>
      <c r="F15" s="17" t="n"/>
      <c r="G15" s="17" t="n"/>
    </row>
    <row r="16">
      <c r="A16" s="17" t="n">
        <v>10</v>
      </c>
      <c r="B16" s="17" t="inlineStr">
        <is>
          <t>BCS515C</t>
        </is>
      </c>
      <c r="C16" s="12" t="inlineStr">
        <is>
          <t>UNIX SYSTEM PROGRAMMING</t>
        </is>
      </c>
      <c r="D16" s="29" t="n"/>
      <c r="E16" s="17" t="n"/>
      <c r="F16" s="17" t="n"/>
      <c r="G16" s="17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21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21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21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9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20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6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B21:D21"/>
    <mergeCell ref="C13:D1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2026-01-30T15:49:33Z</dcterms:modified>
  <cp:lastModifiedBy>Mohammed Ashin</cp:lastModifiedBy>
</cp:coreProperties>
</file>