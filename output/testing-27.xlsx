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xmlns:r="http://schemas.openxmlformats.org/officeDocument/2006/relationships" name="Student Result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tabSelected="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3rd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BCS301</t>
        </is>
      </c>
      <c r="F4" s="23" t="n"/>
      <c r="G4" s="10" t="inlineStr">
        <is>
          <t>BCS302</t>
        </is>
      </c>
      <c r="I4" s="23" t="n"/>
      <c r="J4" s="10" t="inlineStr">
        <is>
          <t>BCS303</t>
        </is>
      </c>
      <c r="L4" s="23" t="n"/>
      <c r="M4" s="10" t="inlineStr">
        <is>
          <t>BCS304</t>
        </is>
      </c>
      <c r="O4" s="23" t="n"/>
      <c r="P4" s="10" t="inlineStr">
        <is>
          <t>BCSL305</t>
        </is>
      </c>
      <c r="R4" s="23" t="n"/>
      <c r="S4" s="10" t="inlineStr">
        <is>
          <t>BDS306C</t>
        </is>
      </c>
      <c r="U4" s="23" t="n"/>
      <c r="V4" s="10" t="inlineStr">
        <is>
          <t>BSCK307</t>
        </is>
      </c>
      <c r="X4" s="23" t="n"/>
      <c r="Y4" s="10" t="inlineStr">
        <is>
          <t>BCS358C</t>
        </is>
      </c>
      <c r="AA4" s="23" t="n"/>
      <c r="AB4" s="10" t="inlineStr">
        <is>
          <t>BNSK359/BPEK359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28</v>
      </c>
      <c r="E6" s="25" t="n">
        <v>30</v>
      </c>
      <c r="F6" s="24" t="n">
        <v>58</v>
      </c>
      <c r="G6" s="25" t="n">
        <v>45</v>
      </c>
      <c r="H6" s="25" t="n">
        <v>35</v>
      </c>
      <c r="I6" s="24" t="n">
        <v>80</v>
      </c>
      <c r="J6" s="25" t="n">
        <v>40</v>
      </c>
      <c r="K6" s="25" t="n">
        <v>24</v>
      </c>
      <c r="L6" s="24" t="n">
        <v>64</v>
      </c>
      <c r="M6" s="25" t="n">
        <v>41</v>
      </c>
      <c r="N6" s="25" t="n">
        <v>27</v>
      </c>
      <c r="O6" s="24" t="n">
        <v>68</v>
      </c>
      <c r="P6" s="25" t="n">
        <v>48</v>
      </c>
      <c r="Q6" s="25" t="n">
        <v>49</v>
      </c>
      <c r="R6" s="24" t="n">
        <v>97</v>
      </c>
      <c r="S6" s="25" t="n">
        <v>47</v>
      </c>
      <c r="T6" s="25" t="n">
        <v>30</v>
      </c>
      <c r="U6" s="24" t="n">
        <v>77</v>
      </c>
      <c r="V6" s="25" t="n">
        <v>91</v>
      </c>
      <c r="W6" s="25" t="n">
        <v>0</v>
      </c>
      <c r="X6" s="24" t="n">
        <v>91</v>
      </c>
      <c r="Y6" s="25" t="n">
        <v>50</v>
      </c>
      <c r="Z6" s="25" t="n">
        <v>50</v>
      </c>
      <c r="AA6" s="24" t="n">
        <v>100</v>
      </c>
      <c r="AB6" s="25" t="n">
        <v>89</v>
      </c>
      <c r="AC6" s="25" t="n">
        <v>0</v>
      </c>
      <c r="AD6" s="24" t="n">
        <v>89</v>
      </c>
      <c r="AE6" s="24">
        <f>F6+I6+L6+O6+AA6+R6+U6+X6+AD6</f>
        <v/>
      </c>
      <c r="AF6" s="24">
        <f>ROUND((AE6/(9*100))*100, 1)</f>
        <v/>
      </c>
      <c r="AG6" s="25" t="n"/>
      <c r="AH6" s="25" t="n"/>
    </row>
    <row r="61">
      <c r="AK61" s="23" t="inlineStr">
        <is>
          <t>LEGEND</t>
        </is>
      </c>
    </row>
    <row r="63">
      <c r="AK63" s="26" t="inlineStr">
        <is>
          <t>Subject Fail</t>
        </is>
      </c>
    </row>
    <row r="64">
      <c r="AK64" s="27" t="inlineStr">
        <is>
          <t>(BPEK559)</t>
        </is>
      </c>
    </row>
    <row r="65">
      <c r="AK65" s="28" t="inlineStr">
        <is>
          <t>(BNSK559)</t>
        </is>
      </c>
    </row>
    <row r="66">
      <c r="AK66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7" workbookViewId="0">
      <selection activeCell="C15" sqref="C15:D15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3rd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BCS301</t>
        </is>
      </c>
      <c r="C7" s="12" t="inlineStr">
        <is>
          <t>MATHEMATICS FOR COMPUTER SCIENCE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BCS302</t>
        </is>
      </c>
      <c r="C8" s="12" t="inlineStr">
        <is>
          <t>DIGITAL DESIGN AND COMPUTER ORGANIZATION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BCS303</t>
        </is>
      </c>
      <c r="C9" s="12" t="inlineStr">
        <is>
          <t>OPERATING SYSTEM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BCS304</t>
        </is>
      </c>
      <c r="C10" s="12" t="inlineStr">
        <is>
          <t>DATA STRUCTURES AND APPLICATIONS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BDS306C</t>
        </is>
      </c>
      <c r="C11" s="12" t="inlineStr">
        <is>
          <t>DATA ANALYTICS WITH R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BSCK307</t>
        </is>
      </c>
      <c r="C12" s="12" t="inlineStr">
        <is>
          <t>SOCIAL CONNECT AND RESPONSIBILITY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BCS358C</t>
        </is>
      </c>
      <c r="C13" s="12" t="inlineStr">
        <is>
          <t>PROJECT MANAGEMENT WITH GIT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BPEK359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BNSK359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BCSL305</t>
        </is>
      </c>
      <c r="C16" s="12" t="inlineStr">
        <is>
          <t>DATA STRUCTURES LAB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2026-01-30T16:52:15Z</dcterms:modified>
  <cp:lastModifiedBy>Mohammed Ashin</cp:lastModifiedBy>
</cp:coreProperties>
</file>