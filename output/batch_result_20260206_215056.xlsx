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name="Student Result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family val="2"/>
      <b val="1"/>
      <color theme="1"/>
      <sz val="20"/>
      <u val="single"/>
      <scheme val="minor"/>
    </font>
    <font>
      <name val="Times New Roman"/>
      <family val="1"/>
      <b val="1"/>
      <color theme="1"/>
      <sz val="20"/>
      <u val="single"/>
    </font>
    <font>
      <name val="Times New Roman"/>
      <family val="1"/>
      <b val="1"/>
      <color theme="1"/>
      <sz val="16"/>
      <u val="single"/>
    </font>
    <font>
      <name val="Times New Roman"/>
      <family val="1"/>
      <b val="1"/>
      <color theme="1"/>
      <sz val="12"/>
      <u val="single"/>
    </font>
    <font>
      <name val="Times New Roman"/>
      <family val="1"/>
      <b val="1"/>
      <color theme="1"/>
      <sz val="12"/>
    </font>
    <font>
      <name val="Calibri"/>
      <family val="2"/>
      <b val="1"/>
      <color theme="1"/>
      <sz val="12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12"/>
    </font>
    <font>
      <name val="Times New Roman"/>
      <family val="1"/>
      <b val="1"/>
      <color theme="1"/>
      <sz val="16"/>
    </font>
    <font>
      <name val="Times New Roman"/>
      <family val="1"/>
      <b val="1"/>
      <color theme="1"/>
      <sz val="14"/>
    </font>
    <font>
      <name val="Times New Roman"/>
      <family val="1"/>
      <b val="1"/>
      <color theme="1"/>
      <sz val="11"/>
    </font>
    <font>
      <b val="1"/>
    </font>
  </fonts>
  <fills count="7">
    <fill>
      <patternFill/>
    </fill>
    <fill>
      <patternFill patternType="gray125"/>
    </fill>
    <fill>
      <patternFill patternType="solid">
        <fgColor theme="9" tint="0.5999938962981048"/>
        <bgColor indexed="64"/>
      </patternFill>
    </fill>
    <fill>
      <patternFill patternType="solid">
        <fgColor rgb="00CFE2F3"/>
        <bgColor rgb="00CFE2F3"/>
      </patternFill>
    </fill>
    <fill>
      <patternFill patternType="solid">
        <fgColor rgb="00FCE5CD"/>
        <bgColor rgb="00FCE5CD"/>
      </patternFill>
    </fill>
    <fill>
      <patternFill patternType="solid">
        <fgColor rgb="00FFD60A"/>
        <bgColor rgb="00FFD60A"/>
      </patternFill>
    </fill>
    <fill>
      <patternFill patternType="solid">
        <fgColor rgb="00EAD1DC"/>
        <bgColor rgb="00EAD1DC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11" fillId="0" borderId="0" pivotButton="0" quotePrefix="0" xfId="0"/>
    <xf numFmtId="0" fontId="11" fillId="0" borderId="1" applyAlignment="1" pivotButton="0" quotePrefix="0" xfId="0">
      <alignment horizontal="center"/>
    </xf>
    <xf numFmtId="0" fontId="11" fillId="0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2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6" fillId="0" borderId="0" pivotButton="0" quotePrefix="0" xfId="0"/>
    <xf numFmtId="0" fontId="11" fillId="0" borderId="0" applyAlignment="1" pivotButton="0" quotePrefix="0" xfId="0">
      <alignment horizontal="left"/>
    </xf>
    <xf numFmtId="0" fontId="10" fillId="2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center"/>
    </xf>
    <xf numFmtId="0" fontId="11" fillId="0" borderId="1" applyAlignment="1" pivotButton="0" quotePrefix="0" xfId="0">
      <alignment horizontal="left"/>
    </xf>
    <xf numFmtId="0" fontId="5" fillId="0" borderId="0" applyAlignment="1" pivotButton="0" quotePrefix="0" xfId="0">
      <alignment horizontal="left"/>
    </xf>
    <xf numFmtId="0" fontId="9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11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12" fillId="0" borderId="0" pivotButton="0" quotePrefix="0" xfId="0"/>
    <xf numFmtId="0" fontId="12" fillId="4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3" borderId="0" pivotButton="0" quotePrefix="0" xfId="0"/>
    <xf numFmtId="0" fontId="0" fillId="6" borderId="0" pivotButton="0" quotePrefix="0" xfId="0"/>
    <xf numFmtId="0" fontId="0" fillId="0" borderId="4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1"/>
  <sheetViews>
    <sheetView tabSelected="1" zoomScaleNormal="100" workbookViewId="0">
      <selection activeCell="B4" sqref="B4:B5"/>
    </sheetView>
  </sheetViews>
  <sheetFormatPr baseColWidth="8" defaultRowHeight="14.4"/>
  <cols>
    <col width="16.109375" customWidth="1" min="1" max="1"/>
    <col width="18.44140625" customWidth="1" min="2" max="2"/>
    <col width="29.77734375" customWidth="1" min="3" max="3"/>
    <col width="22.21875" customWidth="1" min="31" max="31"/>
    <col width="18.109375" customWidth="1" min="32" max="32"/>
    <col width="26.77734375" customWidth="1" min="33" max="33"/>
    <col width="15.88671875" customWidth="1" min="34" max="34"/>
  </cols>
  <sheetData>
    <row r="1" ht="25.8" customHeight="1">
      <c r="A1" s="22" t="inlineStr">
        <is>
          <t>YENEPOYA INSTITUTE OF TECHNOLOGY</t>
        </is>
      </c>
      <c r="B1" s="23" t="n"/>
      <c r="C1" s="23" t="n"/>
      <c r="F1" s="23" t="n"/>
      <c r="I1" s="23" t="n"/>
      <c r="L1" s="23" t="n"/>
      <c r="O1" s="23" t="n"/>
      <c r="R1" s="23" t="n"/>
      <c r="U1" s="23" t="n"/>
      <c r="X1" s="23" t="n"/>
      <c r="AA1" s="23" t="n"/>
      <c r="AD1" s="23" t="n"/>
      <c r="AE1" s="23" t="n"/>
      <c r="AF1" s="23" t="n"/>
    </row>
    <row r="2" ht="20.4" customHeight="1">
      <c r="A2" s="22" t="inlineStr">
        <is>
          <t>Department of Artificial Intelligence and Machine Learning</t>
        </is>
      </c>
      <c r="B2" s="23" t="n"/>
      <c r="C2" s="23" t="n"/>
      <c r="F2" s="23" t="n"/>
      <c r="I2" s="23" t="n"/>
      <c r="L2" s="23" t="n"/>
      <c r="O2" s="23" t="n"/>
      <c r="R2" s="23" t="n"/>
      <c r="U2" s="23" t="n"/>
      <c r="X2" s="23" t="n"/>
      <c r="AA2" s="23" t="n"/>
      <c r="AD2" s="23" t="n"/>
      <c r="AE2" s="23" t="n"/>
      <c r="AF2" s="23" t="n"/>
    </row>
    <row r="3" ht="15.6" customHeight="1">
      <c r="A3" s="22" t="inlineStr">
        <is>
          <t>5th sem RESULT ANALYSIS - DEC - 25/JAN - 26</t>
        </is>
      </c>
      <c r="B3" s="23" t="n"/>
      <c r="C3" s="23" t="n"/>
      <c r="F3" s="23" t="n"/>
      <c r="I3" s="23" t="n"/>
      <c r="L3" s="23" t="n"/>
      <c r="O3" s="23" t="n"/>
      <c r="R3" s="23" t="n"/>
      <c r="U3" s="23" t="n"/>
      <c r="X3" s="23" t="n"/>
      <c r="AA3" s="23" t="n"/>
      <c r="AD3" s="23" t="n"/>
      <c r="AE3" s="23" t="n"/>
      <c r="AF3" s="23" t="n"/>
    </row>
    <row r="4" ht="15.6" customHeight="1">
      <c r="A4" s="23" t="inlineStr">
        <is>
          <t xml:space="preserve">SL.No </t>
        </is>
      </c>
      <c r="B4" s="23" t="inlineStr">
        <is>
          <t>USN</t>
        </is>
      </c>
      <c r="C4" s="23" t="inlineStr">
        <is>
          <t>NAME</t>
        </is>
      </c>
      <c r="D4" s="6" t="inlineStr">
        <is>
          <t>BCS501</t>
        </is>
      </c>
      <c r="F4" s="23" t="n"/>
      <c r="G4" s="6" t="inlineStr">
        <is>
          <t>BCS502</t>
        </is>
      </c>
      <c r="I4" s="23" t="n"/>
      <c r="J4" s="6" t="inlineStr">
        <is>
          <t>BCS503</t>
        </is>
      </c>
      <c r="L4" s="23" t="n"/>
      <c r="M4" s="6" t="inlineStr">
        <is>
          <t>BAIL504</t>
        </is>
      </c>
      <c r="O4" s="23" t="n"/>
      <c r="P4" s="6" t="inlineStr">
        <is>
          <t>BCS515C</t>
        </is>
      </c>
      <c r="R4" s="23" t="n"/>
      <c r="S4" s="6" t="inlineStr">
        <is>
          <t>BAI586</t>
        </is>
      </c>
      <c r="U4" s="23" t="n"/>
      <c r="V4" s="6" t="inlineStr">
        <is>
          <t>BRMK557</t>
        </is>
      </c>
      <c r="X4" s="23" t="n"/>
      <c r="Y4" s="6" t="inlineStr">
        <is>
          <t>BCS508</t>
        </is>
      </c>
      <c r="AA4" s="23" t="n"/>
      <c r="AB4" s="6" t="inlineStr">
        <is>
          <t>BNSK559/BPEK559</t>
        </is>
      </c>
      <c r="AD4" s="23" t="n"/>
      <c r="AE4" s="23" t="inlineStr">
        <is>
          <t>TOTAL</t>
        </is>
      </c>
      <c r="AF4" s="23" t="inlineStr">
        <is>
          <t>PERCENTAGE</t>
        </is>
      </c>
      <c r="AG4" s="6" t="inlineStr">
        <is>
          <t>FAILED SUBJECTS</t>
        </is>
      </c>
      <c r="AH4" s="6" t="inlineStr">
        <is>
          <t>ABSENT</t>
        </is>
      </c>
    </row>
    <row r="5" ht="15.6" customHeight="1">
      <c r="A5" s="23" t="n"/>
      <c r="B5" s="23" t="n"/>
      <c r="C5" s="23" t="n"/>
      <c r="D5" s="6" t="inlineStr">
        <is>
          <t>Int</t>
        </is>
      </c>
      <c r="E5" s="6" t="inlineStr">
        <is>
          <t>Ext</t>
        </is>
      </c>
      <c r="F5" s="23" t="inlineStr">
        <is>
          <t>Total</t>
        </is>
      </c>
      <c r="G5" s="6" t="inlineStr">
        <is>
          <t>Int</t>
        </is>
      </c>
      <c r="H5" s="6" t="inlineStr">
        <is>
          <t>Ext</t>
        </is>
      </c>
      <c r="I5" s="23" t="inlineStr">
        <is>
          <t>Total</t>
        </is>
      </c>
      <c r="J5" s="6" t="inlineStr">
        <is>
          <t>Int</t>
        </is>
      </c>
      <c r="K5" s="6" t="inlineStr">
        <is>
          <t>Ext</t>
        </is>
      </c>
      <c r="L5" s="23" t="inlineStr">
        <is>
          <t>Total</t>
        </is>
      </c>
      <c r="M5" s="6" t="inlineStr">
        <is>
          <t>Int</t>
        </is>
      </c>
      <c r="N5" s="6" t="inlineStr">
        <is>
          <t>Ext</t>
        </is>
      </c>
      <c r="O5" s="23" t="inlineStr">
        <is>
          <t>Total</t>
        </is>
      </c>
      <c r="P5" s="6" t="inlineStr">
        <is>
          <t>Int</t>
        </is>
      </c>
      <c r="Q5" s="6" t="inlineStr">
        <is>
          <t>Ext</t>
        </is>
      </c>
      <c r="R5" s="23" t="inlineStr">
        <is>
          <t>Total</t>
        </is>
      </c>
      <c r="S5" s="6" t="inlineStr">
        <is>
          <t>Int</t>
        </is>
      </c>
      <c r="T5" s="6" t="inlineStr">
        <is>
          <t>Ext</t>
        </is>
      </c>
      <c r="U5" s="23" t="inlineStr">
        <is>
          <t>Total</t>
        </is>
      </c>
      <c r="V5" s="6" t="inlineStr">
        <is>
          <t>Int</t>
        </is>
      </c>
      <c r="W5" s="6" t="inlineStr">
        <is>
          <t>Ext</t>
        </is>
      </c>
      <c r="X5" s="23" t="inlineStr">
        <is>
          <t>Total</t>
        </is>
      </c>
      <c r="Y5" s="6" t="inlineStr">
        <is>
          <t>Int</t>
        </is>
      </c>
      <c r="Z5" s="6" t="inlineStr">
        <is>
          <t>Ext</t>
        </is>
      </c>
      <c r="AA5" s="23" t="inlineStr">
        <is>
          <t>Total</t>
        </is>
      </c>
      <c r="AB5" s="6" t="inlineStr">
        <is>
          <t>Int</t>
        </is>
      </c>
      <c r="AC5" s="6" t="inlineStr">
        <is>
          <t>Ext</t>
        </is>
      </c>
      <c r="AD5" s="23" t="inlineStr">
        <is>
          <t>Total</t>
        </is>
      </c>
      <c r="AE5" s="23" t="n"/>
      <c r="AF5" s="23" t="n"/>
    </row>
    <row r="6">
      <c r="A6" s="24" t="n">
        <v>1</v>
      </c>
      <c r="B6" s="24" t="inlineStr">
        <is>
          <t>4DM23AI002</t>
        </is>
      </c>
      <c r="C6" s="24" t="inlineStr">
        <is>
          <t>ABDUL AZEEM EASA</t>
        </is>
      </c>
      <c r="D6" s="25" t="n">
        <v>48</v>
      </c>
      <c r="E6" s="25" t="n">
        <v>18</v>
      </c>
      <c r="F6" s="24" t="n">
        <v>66</v>
      </c>
      <c r="G6" s="25" t="n">
        <v>48</v>
      </c>
      <c r="H6" s="25" t="n">
        <v>28</v>
      </c>
      <c r="I6" s="24" t="n">
        <v>76</v>
      </c>
      <c r="J6" s="25" t="n">
        <v>49</v>
      </c>
      <c r="K6" s="25" t="n">
        <v>45</v>
      </c>
      <c r="L6" s="24" t="n">
        <v>94</v>
      </c>
      <c r="M6" s="25" t="n">
        <v>49</v>
      </c>
      <c r="N6" s="25" t="n">
        <v>46</v>
      </c>
      <c r="O6" s="24" t="n">
        <v>95</v>
      </c>
      <c r="P6" s="25" t="n">
        <v>44</v>
      </c>
      <c r="Q6" s="25" t="n">
        <v>29</v>
      </c>
      <c r="R6" s="24" t="n">
        <v>73</v>
      </c>
      <c r="S6" s="25" t="n">
        <v>100</v>
      </c>
      <c r="T6" s="25" t="n">
        <v>0</v>
      </c>
      <c r="U6" s="24" t="n">
        <v>100</v>
      </c>
      <c r="V6" s="25" t="n">
        <v>43</v>
      </c>
      <c r="W6" s="25" t="n">
        <v>22</v>
      </c>
      <c r="X6" s="24" t="n">
        <v>65</v>
      </c>
      <c r="Y6" s="25" t="n">
        <v>43</v>
      </c>
      <c r="Z6" s="25" t="n">
        <v>30</v>
      </c>
      <c r="AA6" s="24" t="n">
        <v>73</v>
      </c>
      <c r="AB6" s="25" t="n">
        <v>84</v>
      </c>
      <c r="AC6" s="25" t="n">
        <v>0</v>
      </c>
      <c r="AD6" s="24" t="n">
        <v>84</v>
      </c>
      <c r="AE6" s="24">
        <f>U6+O6+F6+I6+L6+AA6+R6+X6+AD6</f>
        <v/>
      </c>
      <c r="AF6" s="24">
        <f>ROUND((AE6/(9*100))*100, 1)</f>
        <v/>
      </c>
      <c r="AG6" s="25" t="n"/>
      <c r="AH6" s="25" t="n"/>
      <c r="AJ6" s="23" t="inlineStr">
        <is>
          <t>LEGEND</t>
        </is>
      </c>
    </row>
    <row r="8">
      <c r="AJ8" s="26" t="inlineStr">
        <is>
          <t>Subject Fail</t>
        </is>
      </c>
    </row>
    <row r="9">
      <c r="AJ9" s="27" t="inlineStr">
        <is>
          <t>(BPEK559)</t>
        </is>
      </c>
    </row>
    <row r="10">
      <c r="AJ10" s="28" t="inlineStr">
        <is>
          <t>(BNSK559)</t>
        </is>
      </c>
    </row>
    <row r="11">
      <c r="AJ11" s="25" t="inlineStr">
        <is>
          <t>Class Topper</t>
        </is>
      </c>
    </row>
  </sheetData>
  <mergeCells count="19">
    <mergeCell ref="A1:AG1"/>
    <mergeCell ref="C4:C5"/>
    <mergeCell ref="AF4:AF5"/>
    <mergeCell ref="J4:L4"/>
    <mergeCell ref="AH4:AH5"/>
    <mergeCell ref="A3:AG3"/>
    <mergeCell ref="D4:F4"/>
    <mergeCell ref="A2:AG2"/>
    <mergeCell ref="G4:I4"/>
    <mergeCell ref="A4:A5"/>
    <mergeCell ref="M4:O4"/>
    <mergeCell ref="S4:U4"/>
    <mergeCell ref="Y4:AA4"/>
    <mergeCell ref="P4:R4"/>
    <mergeCell ref="B4:B5"/>
    <mergeCell ref="AE4:AE5"/>
    <mergeCell ref="AG4:AG5"/>
    <mergeCell ref="V4:X4"/>
    <mergeCell ref="AB4:AD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topLeftCell="A6" workbookViewId="0">
      <selection activeCell="B22" sqref="B22:D22"/>
    </sheetView>
  </sheetViews>
  <sheetFormatPr baseColWidth="8" defaultRowHeight="14.4"/>
  <cols>
    <col width="23" customWidth="1" min="2" max="2"/>
    <col width="16.21875" customWidth="1" min="3" max="3"/>
    <col width="51.109375" customWidth="1" min="4" max="4"/>
    <col width="23.109375" customWidth="1" min="5" max="5"/>
    <col width="23" customWidth="1" min="6" max="6"/>
    <col width="14.33203125" customWidth="1" min="7" max="7"/>
  </cols>
  <sheetData>
    <row r="1" ht="20.4" customHeight="1">
      <c r="A1" s="17" t="inlineStr">
        <is>
          <t>YENEPOYA INSTITUTE OF TECHNOLOGY</t>
        </is>
      </c>
    </row>
    <row r="2" ht="15.6" customHeight="1">
      <c r="A2" s="18" t="inlineStr">
        <is>
          <t>(Sponsered by Islamic Academy of Education)</t>
        </is>
      </c>
    </row>
    <row r="3" ht="17.4" customHeight="1">
      <c r="A3" s="14" t="inlineStr">
        <is>
          <t>Department of Artificial Intelligence and Machine Learning</t>
        </is>
      </c>
    </row>
    <row r="4" ht="15.6" customHeight="1">
      <c r="A4" s="10" t="inlineStr">
        <is>
          <t>Result Analysis of 5th Sem DEC/JAN (2025-26)</t>
        </is>
      </c>
    </row>
    <row r="5">
      <c r="A5" s="2" t="n"/>
      <c r="B5" s="2" t="n"/>
      <c r="C5" s="2" t="n"/>
      <c r="D5" s="2" t="n"/>
      <c r="E5" s="2" t="n"/>
      <c r="F5" s="2" t="n"/>
      <c r="G5" s="2" t="n"/>
    </row>
    <row r="6" ht="43.8" customHeight="1">
      <c r="A6" s="20" t="inlineStr">
        <is>
          <t>SL NO.</t>
        </is>
      </c>
      <c r="B6" s="20" t="inlineStr">
        <is>
          <t>SUBJECT CODE</t>
        </is>
      </c>
      <c r="C6" s="20" t="inlineStr">
        <is>
          <t>Sub Name and Faculty Name</t>
        </is>
      </c>
      <c r="D6" s="29" t="n"/>
      <c r="E6" s="5" t="inlineStr">
        <is>
          <t xml:space="preserve">NUMBER OF STUDENTS APPEARED </t>
        </is>
      </c>
      <c r="F6" s="5" t="inlineStr">
        <is>
          <t>NUMBER OF STUDENTS PASSED</t>
        </is>
      </c>
      <c r="G6" s="5" t="inlineStr">
        <is>
          <t>PERCENTAGE (%)</t>
        </is>
      </c>
    </row>
    <row r="7">
      <c r="A7" s="20" t="n">
        <v>1</v>
      </c>
      <c r="B7" s="20" t="inlineStr">
        <is>
          <t>BCS501</t>
        </is>
      </c>
      <c r="C7" s="15" t="inlineStr">
        <is>
          <t>SOFTWARE ENGINEERING AND PROJECT MANAGEMENT</t>
        </is>
      </c>
      <c r="D7" s="29" t="n"/>
      <c r="E7" s="20" t="n"/>
      <c r="F7" s="20" t="n"/>
      <c r="G7" s="20" t="n"/>
    </row>
    <row r="8">
      <c r="A8" s="20" t="n">
        <v>2</v>
      </c>
      <c r="B8" s="20" t="inlineStr">
        <is>
          <t>BCS502</t>
        </is>
      </c>
      <c r="C8" s="15" t="inlineStr">
        <is>
          <t>COMPUTER NETWORKS</t>
        </is>
      </c>
      <c r="D8" s="29" t="n"/>
      <c r="E8" s="20" t="n"/>
      <c r="F8" s="20" t="n"/>
      <c r="G8" s="20" t="n"/>
    </row>
    <row r="9">
      <c r="A9" s="20" t="n">
        <v>3</v>
      </c>
      <c r="B9" s="20" t="inlineStr">
        <is>
          <t>BCS503</t>
        </is>
      </c>
      <c r="C9" s="15" t="inlineStr">
        <is>
          <t>THEORY OF COMPUTATION</t>
        </is>
      </c>
      <c r="D9" s="29" t="n"/>
      <c r="E9" s="20" t="n"/>
      <c r="F9" s="20" t="n"/>
      <c r="G9" s="20" t="n"/>
    </row>
    <row r="10">
      <c r="A10" s="20" t="n">
        <v>4</v>
      </c>
      <c r="B10" s="20" t="inlineStr">
        <is>
          <t>BAIL504</t>
        </is>
      </c>
      <c r="C10" s="15" t="inlineStr">
        <is>
          <t>DATA VISUALIZATION LAB</t>
        </is>
      </c>
      <c r="D10" s="29" t="n"/>
      <c r="E10" s="20" t="n"/>
      <c r="F10" s="20" t="n"/>
      <c r="G10" s="20" t="n"/>
    </row>
    <row r="11">
      <c r="A11" s="20" t="n">
        <v>5</v>
      </c>
      <c r="B11" s="20" t="inlineStr">
        <is>
          <t>BAI586</t>
        </is>
      </c>
      <c r="C11" s="15" t="inlineStr">
        <is>
          <t>MINI PROJECT</t>
        </is>
      </c>
      <c r="D11" s="29" t="n"/>
      <c r="E11" s="20" t="n"/>
      <c r="F11" s="20" t="n"/>
      <c r="G11" s="20" t="n"/>
    </row>
    <row r="12">
      <c r="A12" s="20" t="n">
        <v>6</v>
      </c>
      <c r="B12" s="20" t="inlineStr">
        <is>
          <t>BRMK557</t>
        </is>
      </c>
      <c r="C12" s="15" t="inlineStr">
        <is>
          <t>RESEARCH METHODOLOGY AND IPR</t>
        </is>
      </c>
      <c r="D12" s="29" t="n"/>
      <c r="E12" s="20" t="n"/>
      <c r="F12" s="20" t="n"/>
      <c r="G12" s="20" t="n"/>
    </row>
    <row r="13">
      <c r="A13" s="20" t="n">
        <v>7</v>
      </c>
      <c r="B13" s="20" t="inlineStr">
        <is>
          <t>BCS508</t>
        </is>
      </c>
      <c r="C13" s="15" t="inlineStr">
        <is>
          <t>ENVIRONMENTAL STUDIES AND E-WASTE MANAGEMENT</t>
        </is>
      </c>
      <c r="D13" s="29" t="n"/>
      <c r="E13" s="20" t="n"/>
      <c r="F13" s="20" t="n"/>
      <c r="G13" s="20" t="n"/>
    </row>
    <row r="14">
      <c r="A14" s="20" t="n">
        <v>8</v>
      </c>
      <c r="B14" s="20" t="inlineStr">
        <is>
          <t>BPEK559</t>
        </is>
      </c>
      <c r="C14" s="15" t="inlineStr">
        <is>
          <t>PHYSICAL EDUCATION</t>
        </is>
      </c>
      <c r="D14" s="29" t="n"/>
      <c r="E14" s="20" t="n"/>
      <c r="F14" s="20" t="n"/>
      <c r="G14" s="20" t="n"/>
    </row>
    <row r="15">
      <c r="A15" s="20" t="n">
        <v>9</v>
      </c>
      <c r="B15" s="20" t="inlineStr">
        <is>
          <t>BNSK559</t>
        </is>
      </c>
      <c r="C15" s="15" t="inlineStr">
        <is>
          <t>NATIONAL SERVICE SCHEME</t>
        </is>
      </c>
      <c r="D15" s="29" t="n"/>
      <c r="E15" s="20" t="n"/>
      <c r="F15" s="20" t="n"/>
      <c r="G15" s="20" t="n"/>
    </row>
    <row r="16">
      <c r="A16" s="20" t="n">
        <v>10</v>
      </c>
      <c r="B16" s="20" t="inlineStr">
        <is>
          <t>BCS515C</t>
        </is>
      </c>
      <c r="C16" s="15" t="inlineStr">
        <is>
          <t>UNIX SYSTEM PROGRAMMING</t>
        </is>
      </c>
      <c r="D16" s="29" t="n"/>
      <c r="E16" s="20" t="n"/>
      <c r="F16" s="20" t="n"/>
      <c r="G16" s="20" t="n"/>
    </row>
    <row r="17">
      <c r="A17" s="3" t="n"/>
      <c r="B17" s="3" t="n"/>
      <c r="C17" s="3" t="n"/>
      <c r="D17" s="3" t="n"/>
      <c r="E17" s="3" t="n"/>
      <c r="F17" s="3" t="n"/>
      <c r="G17" s="3" t="n"/>
    </row>
    <row r="18" ht="15.6" customHeight="1">
      <c r="A18" s="3" t="n"/>
      <c r="B18" s="16" t="inlineStr">
        <is>
          <t xml:space="preserve">Number of students appeared : </t>
        </is>
      </c>
      <c r="E18" s="3" t="n"/>
      <c r="F18" s="3" t="n"/>
      <c r="G18" s="3" t="n"/>
    </row>
    <row r="19" ht="15.6" customHeight="1">
      <c r="A19" s="3" t="n"/>
      <c r="B19" s="16" t="inlineStr">
        <is>
          <t>Number of students passed     :</t>
        </is>
      </c>
      <c r="E19" s="3" t="n"/>
      <c r="F19" s="3" t="n"/>
      <c r="G19" s="3" t="n"/>
    </row>
    <row r="20" ht="15.6" customHeight="1">
      <c r="A20" s="3" t="n"/>
      <c r="B20" s="16" t="inlineStr">
        <is>
          <t xml:space="preserve">Number of students failed       : </t>
        </is>
      </c>
      <c r="E20" s="3" t="n"/>
      <c r="F20" s="3" t="n"/>
      <c r="G20" s="3" t="n"/>
    </row>
    <row r="21">
      <c r="A21" s="3" t="n"/>
      <c r="B21" s="12" t="inlineStr">
        <is>
          <t xml:space="preserve">Total Percentage                        : </t>
        </is>
      </c>
      <c r="E21" s="3" t="n"/>
      <c r="F21" s="3" t="n"/>
      <c r="G21" s="3" t="n"/>
    </row>
    <row r="22" ht="39.6" customHeight="1">
      <c r="A22" s="3" t="n"/>
      <c r="B22" s="13" t="inlineStr">
        <is>
          <t xml:space="preserve">TOPPER: </t>
        </is>
      </c>
      <c r="E22" s="3" t="n"/>
      <c r="F22" s="3" t="n"/>
      <c r="G22" s="3" t="n"/>
    </row>
    <row r="23" ht="17.4" customHeight="1">
      <c r="A23" s="3" t="n"/>
      <c r="B23" s="3" t="n"/>
      <c r="C23" s="3" t="n"/>
      <c r="D23" s="3" t="n"/>
      <c r="E23" s="3" t="n"/>
      <c r="F23" s="14" t="inlineStr">
        <is>
          <t>HOD</t>
        </is>
      </c>
    </row>
    <row r="24">
      <c r="A24" s="3" t="n"/>
      <c r="B24" s="3" t="n"/>
      <c r="C24" s="3" t="n"/>
      <c r="D24" s="3" t="n"/>
      <c r="E24" s="3" t="n"/>
      <c r="F24" s="3" t="n"/>
      <c r="G24" s="3" t="n"/>
    </row>
    <row r="25">
      <c r="A25" s="3" t="n"/>
      <c r="B25" s="3" t="n"/>
      <c r="C25" s="3" t="n"/>
      <c r="D25" s="3" t="n"/>
      <c r="E25" s="3" t="n"/>
      <c r="F25" s="3" t="n"/>
      <c r="G25" s="3" t="n"/>
    </row>
  </sheetData>
  <mergeCells count="21">
    <mergeCell ref="C6:D6"/>
    <mergeCell ref="C15:D15"/>
    <mergeCell ref="A4:G4"/>
    <mergeCell ref="C14:D14"/>
    <mergeCell ref="B19:D19"/>
    <mergeCell ref="C10:D10"/>
    <mergeCell ref="C16:D16"/>
    <mergeCell ref="C9:D9"/>
    <mergeCell ref="B20:D20"/>
    <mergeCell ref="C12:D12"/>
    <mergeCell ref="A1:G1"/>
    <mergeCell ref="C11:D11"/>
    <mergeCell ref="F23:G23"/>
    <mergeCell ref="C8:D8"/>
    <mergeCell ref="C7:D7"/>
    <mergeCell ref="A3:G3"/>
    <mergeCell ref="B22:D22"/>
    <mergeCell ref="B18:D18"/>
    <mergeCell ref="A2:G2"/>
    <mergeCell ref="C13:D13"/>
    <mergeCell ref="B21:D21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Mohammed Ashin</dc:creator>
  <dcterms:created xsi:type="dcterms:W3CDTF">2026-01-29T04:53:28Z</dcterms:created>
  <dcterms:modified xsi:type="dcterms:W3CDTF">2026-02-06T16:20:56Z</dcterms:modified>
  <cp:lastModifiedBy>Mohammed Ashin</cp:lastModifiedBy>
</cp:coreProperties>
</file>